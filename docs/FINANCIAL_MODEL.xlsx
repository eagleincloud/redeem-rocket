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&amp; Grow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1"/>
    </font>
    <font>
      <b val="1"/>
      <sz val="11"/>
    </font>
    <font>
      <b val="1"/>
      <sz val="10"/>
    </font>
    <font>
      <b val="1"/>
      <color rgb="000000FF"/>
    </font>
    <font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3" borderId="0" pivotButton="0" quotePrefix="0" xfId="0"/>
    <xf numFmtId="3" fontId="6" fillId="4" borderId="0" applyAlignment="1" pivotButton="0" quotePrefix="0" xfId="0">
      <alignment horizontal="right"/>
    </xf>
    <xf numFmtId="3" fontId="7" fillId="0" borderId="0" applyAlignment="1" pivotButton="0" quotePrefix="0" xfId="0">
      <alignment horizontal="right"/>
    </xf>
    <xf numFmtId="164" fontId="6" fillId="4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5" fontId="6" fillId="4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5" fontId="7" fillId="5" borderId="0" applyAlignment="1" pivotButton="0" quotePrefix="0" xfId="0">
      <alignment horizontal="right"/>
    </xf>
    <xf numFmtId="165" fontId="8" fillId="5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8" fillId="3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REDEEM ROCKET FINANCIAL MODEL</t>
        </is>
      </c>
    </row>
    <row r="2">
      <c r="A2" s="2" t="inlineStr">
        <is>
          <t>Series A Financial Projections - 24 Month Forecast</t>
        </is>
      </c>
    </row>
    <row r="4">
      <c r="A4" s="3" t="inlineStr">
        <is>
          <t>Month/Year</t>
        </is>
      </c>
      <c r="B4" s="4" t="inlineStr">
        <is>
          <t>Apr 2026</t>
        </is>
      </c>
      <c r="C4" s="4" t="inlineStr">
        <is>
          <t>May 2026</t>
        </is>
      </c>
      <c r="D4" s="4" t="inlineStr">
        <is>
          <t>May 2026</t>
        </is>
      </c>
      <c r="E4" s="4" t="inlineStr">
        <is>
          <t>Jun 2026</t>
        </is>
      </c>
      <c r="F4" s="4" t="inlineStr">
        <is>
          <t>Jul 2026</t>
        </is>
      </c>
      <c r="G4" s="4" t="inlineStr">
        <is>
          <t>Aug 2026</t>
        </is>
      </c>
      <c r="H4" s="4" t="inlineStr">
        <is>
          <t>Sep 2026</t>
        </is>
      </c>
      <c r="I4" s="4" t="inlineStr">
        <is>
          <t>Oct 2026</t>
        </is>
      </c>
      <c r="J4" s="4" t="inlineStr">
        <is>
          <t>Nov 2026</t>
        </is>
      </c>
      <c r="K4" s="4" t="inlineStr">
        <is>
          <t>Dec 2026</t>
        </is>
      </c>
      <c r="L4" s="4" t="inlineStr">
        <is>
          <t>Jan 2027</t>
        </is>
      </c>
      <c r="M4" s="4" t="inlineStr">
        <is>
          <t>Feb 2027</t>
        </is>
      </c>
      <c r="N4" s="4" t="inlineStr">
        <is>
          <t>Mar 2027</t>
        </is>
      </c>
      <c r="O4" s="4" t="inlineStr">
        <is>
          <t>Apr 2027</t>
        </is>
      </c>
      <c r="P4" s="4" t="inlineStr">
        <is>
          <t>May 2027</t>
        </is>
      </c>
      <c r="Q4" s="4" t="inlineStr">
        <is>
          <t>Jun 2027</t>
        </is>
      </c>
      <c r="R4" s="4" t="inlineStr">
        <is>
          <t>Jul 2027</t>
        </is>
      </c>
      <c r="S4" s="4" t="inlineStr">
        <is>
          <t>Aug 2027</t>
        </is>
      </c>
      <c r="T4" s="4" t="inlineStr">
        <is>
          <t>Sep 2027</t>
        </is>
      </c>
      <c r="U4" s="4" t="inlineStr">
        <is>
          <t>Oct 2027</t>
        </is>
      </c>
      <c r="V4" s="4" t="inlineStr">
        <is>
          <t>Nov 2027</t>
        </is>
      </c>
      <c r="W4" s="4" t="inlineStr">
        <is>
          <t>Dec 2027</t>
        </is>
      </c>
      <c r="X4" s="4" t="inlineStr">
        <is>
          <t>Jan 2028</t>
        </is>
      </c>
      <c r="Y4" s="4" t="inlineStr">
        <is>
          <t>Feb 2028</t>
        </is>
      </c>
    </row>
    <row r="6">
      <c r="A6" s="5" t="inlineStr">
        <is>
          <t>REVENUE METRICS</t>
        </is>
      </c>
    </row>
    <row r="7">
      <c r="A7" s="6" t="inlineStr">
        <is>
          <t>New Customers (Monthly)</t>
        </is>
      </c>
      <c r="B7" s="7" t="n">
        <v>120</v>
      </c>
      <c r="C7" s="8">
        <f>B7*1.02</f>
        <v/>
      </c>
      <c r="D7" s="8">
        <f>C7*1.02</f>
        <v/>
      </c>
      <c r="E7" s="8">
        <f>D7*1.02</f>
        <v/>
      </c>
      <c r="F7" s="8">
        <f>E7*1.02</f>
        <v/>
      </c>
      <c r="G7" s="8">
        <f>F7*1.02</f>
        <v/>
      </c>
      <c r="H7" s="8">
        <f>G7*1.02</f>
        <v/>
      </c>
      <c r="I7" s="8">
        <f>H7*1.02</f>
        <v/>
      </c>
      <c r="J7" s="8">
        <f>I7*1.02</f>
        <v/>
      </c>
      <c r="K7" s="8">
        <f>J7*1.02</f>
        <v/>
      </c>
      <c r="L7" s="8">
        <f>K7*1.02</f>
        <v/>
      </c>
      <c r="M7" s="8">
        <f>L7*1.02</f>
        <v/>
      </c>
      <c r="N7" s="8">
        <f>M7*1.02</f>
        <v/>
      </c>
      <c r="O7" s="8">
        <f>N7*1.02</f>
        <v/>
      </c>
      <c r="P7" s="8">
        <f>O7*1.02</f>
        <v/>
      </c>
      <c r="Q7" s="8">
        <f>P7*1.02</f>
        <v/>
      </c>
      <c r="R7" s="8">
        <f>Q7*1.02</f>
        <v/>
      </c>
      <c r="S7" s="8">
        <f>R7*1.02</f>
        <v/>
      </c>
      <c r="T7" s="8">
        <f>S7*1.02</f>
        <v/>
      </c>
      <c r="U7" s="8">
        <f>T7*1.02</f>
        <v/>
      </c>
      <c r="V7" s="8">
        <f>U7*1.02</f>
        <v/>
      </c>
      <c r="W7" s="8">
        <f>V7*1.02</f>
        <v/>
      </c>
      <c r="X7" s="8">
        <f>W7*1.02</f>
        <v/>
      </c>
      <c r="Y7" s="8">
        <f>X7*1.02</f>
        <v/>
      </c>
    </row>
    <row r="8">
      <c r="A8" s="6" t="inlineStr">
        <is>
          <t>Churn Rate (%)</t>
        </is>
      </c>
      <c r="B8" s="9" t="n">
        <v>0.03</v>
      </c>
      <c r="C8" s="10">
        <f>MAX(0.02, B8-0.0011)</f>
        <v/>
      </c>
      <c r="D8" s="10">
        <f>MAX(0.02, C8-0.0011)</f>
        <v/>
      </c>
      <c r="E8" s="10">
        <f>MAX(0.02, D8-0.0011)</f>
        <v/>
      </c>
      <c r="F8" s="10">
        <f>MAX(0.02, E8-0.0011)</f>
        <v/>
      </c>
      <c r="G8" s="10">
        <f>MAX(0.02, F8-0.0011)</f>
        <v/>
      </c>
      <c r="H8" s="10">
        <f>MAX(0.02, G8-0.0011)</f>
        <v/>
      </c>
      <c r="I8" s="10">
        <f>MAX(0.02, H8-0.0011)</f>
        <v/>
      </c>
      <c r="J8" s="10">
        <f>MAX(0.02, I8-0.0011)</f>
        <v/>
      </c>
      <c r="K8" s="10">
        <f>MAX(0.02, J8-0.0011)</f>
        <v/>
      </c>
      <c r="L8" s="10">
        <f>MAX(0.02, K8-0.0011)</f>
        <v/>
      </c>
      <c r="M8" s="10">
        <f>MAX(0.02, L8-0.0011)</f>
        <v/>
      </c>
      <c r="N8" s="10">
        <f>MAX(0.02, M8-0.0011)</f>
        <v/>
      </c>
      <c r="O8" s="10">
        <f>MAX(0.02, N8-0.0011)</f>
        <v/>
      </c>
      <c r="P8" s="10">
        <f>MAX(0.02, O8-0.0011)</f>
        <v/>
      </c>
      <c r="Q8" s="10">
        <f>MAX(0.02, P8-0.0011)</f>
        <v/>
      </c>
      <c r="R8" s="10">
        <f>MAX(0.02, Q8-0.0011)</f>
        <v/>
      </c>
      <c r="S8" s="10">
        <f>MAX(0.02, R8-0.0011)</f>
        <v/>
      </c>
      <c r="T8" s="10">
        <f>MAX(0.02, S8-0.0011)</f>
        <v/>
      </c>
      <c r="U8" s="10">
        <f>MAX(0.02, T8-0.0011)</f>
        <v/>
      </c>
      <c r="V8" s="10">
        <f>MAX(0.02, U8-0.0011)</f>
        <v/>
      </c>
      <c r="W8" s="10">
        <f>MAX(0.02, V8-0.0011)</f>
        <v/>
      </c>
      <c r="X8" s="10">
        <f>MAX(0.02, W8-0.0011)</f>
        <v/>
      </c>
      <c r="Y8" s="10">
        <f>MAX(0.02, X8-0.0011)</f>
        <v/>
      </c>
    </row>
    <row r="9">
      <c r="A9" s="6" t="inlineStr">
        <is>
          <t>Total Customers</t>
        </is>
      </c>
      <c r="B9" s="7" t="n">
        <v>500</v>
      </c>
      <c r="C9" s="8">
        <f>ROUND(B9*(1-C8)+C7, 0)</f>
        <v/>
      </c>
      <c r="D9" s="8">
        <f>ROUND(C9*(1-D8)+D7, 0)</f>
        <v/>
      </c>
      <c r="E9" s="8">
        <f>ROUND(D9*(1-E8)+E7, 0)</f>
        <v/>
      </c>
      <c r="F9" s="8">
        <f>ROUND(E9*(1-F8)+F7, 0)</f>
        <v/>
      </c>
      <c r="G9" s="8">
        <f>ROUND(F9*(1-G8)+G7, 0)</f>
        <v/>
      </c>
      <c r="H9" s="8">
        <f>ROUND(G9*(1-H8)+H7, 0)</f>
        <v/>
      </c>
      <c r="I9" s="8">
        <f>ROUND(H9*(1-I8)+I7, 0)</f>
        <v/>
      </c>
      <c r="J9" s="8">
        <f>ROUND(I9*(1-J8)+J7, 0)</f>
        <v/>
      </c>
      <c r="K9" s="8">
        <f>ROUND(J9*(1-K8)+K7, 0)</f>
        <v/>
      </c>
      <c r="L9" s="8">
        <f>ROUND(K9*(1-L8)+L7, 0)</f>
        <v/>
      </c>
      <c r="M9" s="8">
        <f>ROUND(L9*(1-M8)+M7, 0)</f>
        <v/>
      </c>
      <c r="N9" s="8">
        <f>ROUND(M9*(1-N8)+N7, 0)</f>
        <v/>
      </c>
      <c r="O9" s="8">
        <f>ROUND(N9*(1-O8)+O7, 0)</f>
        <v/>
      </c>
      <c r="P9" s="8">
        <f>ROUND(O9*(1-P8)+P7, 0)</f>
        <v/>
      </c>
      <c r="Q9" s="8">
        <f>ROUND(P9*(1-Q8)+Q7, 0)</f>
        <v/>
      </c>
      <c r="R9" s="8">
        <f>ROUND(Q9*(1-R8)+R7, 0)</f>
        <v/>
      </c>
      <c r="S9" s="8">
        <f>ROUND(R9*(1-S8)+S7, 0)</f>
        <v/>
      </c>
      <c r="T9" s="8">
        <f>ROUND(S9*(1-T8)+T7, 0)</f>
        <v/>
      </c>
      <c r="U9" s="8">
        <f>ROUND(T9*(1-U8)+U7, 0)</f>
        <v/>
      </c>
      <c r="V9" s="8">
        <f>ROUND(U9*(1-V8)+V7, 0)</f>
        <v/>
      </c>
      <c r="W9" s="8">
        <f>ROUND(V9*(1-W8)+W7, 0)</f>
        <v/>
      </c>
      <c r="X9" s="8">
        <f>ROUND(W9*(1-X8)+X7, 0)</f>
        <v/>
      </c>
      <c r="Y9" s="8">
        <f>ROUND(X9*(1-Y8)+Y7, 0)</f>
        <v/>
      </c>
    </row>
    <row r="10">
      <c r="A10" s="6" t="inlineStr">
        <is>
          <t>ARPU ($)</t>
        </is>
      </c>
      <c r="B10" s="11" t="n">
        <v>75</v>
      </c>
      <c r="C10" s="12">
        <f>B10*1.009</f>
        <v/>
      </c>
      <c r="D10" s="12">
        <f>C10*1.009</f>
        <v/>
      </c>
      <c r="E10" s="12">
        <f>D10*1.009</f>
        <v/>
      </c>
      <c r="F10" s="12">
        <f>E10*1.009</f>
        <v/>
      </c>
      <c r="G10" s="12">
        <f>F10*1.009</f>
        <v/>
      </c>
      <c r="H10" s="12">
        <f>G10*1.009</f>
        <v/>
      </c>
      <c r="I10" s="12">
        <f>H10*1.009</f>
        <v/>
      </c>
      <c r="J10" s="12">
        <f>I10*1.009</f>
        <v/>
      </c>
      <c r="K10" s="12">
        <f>J10*1.009</f>
        <v/>
      </c>
      <c r="L10" s="12">
        <f>K10*1.009</f>
        <v/>
      </c>
      <c r="M10" s="12">
        <f>L10*1.009</f>
        <v/>
      </c>
      <c r="N10" s="12">
        <f>M10*1.009</f>
        <v/>
      </c>
      <c r="O10" s="12">
        <f>N10*1.009</f>
        <v/>
      </c>
      <c r="P10" s="12">
        <f>O10*1.009</f>
        <v/>
      </c>
      <c r="Q10" s="12">
        <f>P10*1.009</f>
        <v/>
      </c>
      <c r="R10" s="12">
        <f>Q10*1.009</f>
        <v/>
      </c>
      <c r="S10" s="12">
        <f>R10*1.009</f>
        <v/>
      </c>
      <c r="T10" s="12">
        <f>S10*1.009</f>
        <v/>
      </c>
      <c r="U10" s="12">
        <f>T10*1.009</f>
        <v/>
      </c>
      <c r="V10" s="12">
        <f>U10*1.009</f>
        <v/>
      </c>
      <c r="W10" s="12">
        <f>V10*1.009</f>
        <v/>
      </c>
      <c r="X10" s="12">
        <f>W10*1.009</f>
        <v/>
      </c>
      <c r="Y10" s="12">
        <f>X10*1.009</f>
        <v/>
      </c>
    </row>
    <row r="11">
      <c r="A11" s="6" t="inlineStr">
        <is>
          <t>MRR ($)</t>
        </is>
      </c>
      <c r="B11" s="13">
        <f>B9*B10</f>
        <v/>
      </c>
      <c r="C11" s="13">
        <f>C9*C10</f>
        <v/>
      </c>
      <c r="D11" s="13">
        <f>D9*D10</f>
        <v/>
      </c>
      <c r="E11" s="13">
        <f>E9*E10</f>
        <v/>
      </c>
      <c r="F11" s="13">
        <f>F9*F10</f>
        <v/>
      </c>
      <c r="G11" s="13">
        <f>G9*G10</f>
        <v/>
      </c>
      <c r="H11" s="13">
        <f>H9*H10</f>
        <v/>
      </c>
      <c r="I11" s="13">
        <f>I9*I10</f>
        <v/>
      </c>
      <c r="J11" s="13">
        <f>J9*J10</f>
        <v/>
      </c>
      <c r="K11" s="13">
        <f>K9*K10</f>
        <v/>
      </c>
      <c r="L11" s="13">
        <f>L9*L10</f>
        <v/>
      </c>
      <c r="M11" s="13">
        <f>M9*M10</f>
        <v/>
      </c>
      <c r="N11" s="13">
        <f>N9*N10</f>
        <v/>
      </c>
      <c r="O11" s="13">
        <f>O9*O10</f>
        <v/>
      </c>
      <c r="P11" s="13">
        <f>P9*P10</f>
        <v/>
      </c>
      <c r="Q11" s="13">
        <f>Q9*Q10</f>
        <v/>
      </c>
      <c r="R11" s="13">
        <f>R9*R10</f>
        <v/>
      </c>
      <c r="S11" s="13">
        <f>S9*S10</f>
        <v/>
      </c>
      <c r="T11" s="13">
        <f>T9*T10</f>
        <v/>
      </c>
      <c r="U11" s="13">
        <f>U9*U10</f>
        <v/>
      </c>
      <c r="V11" s="13">
        <f>V9*V10</f>
        <v/>
      </c>
      <c r="W11" s="13">
        <f>W9*W10</f>
        <v/>
      </c>
      <c r="X11" s="13">
        <f>X9*X10</f>
        <v/>
      </c>
      <c r="Y11" s="13">
        <f>Y9*Y10</f>
        <v/>
      </c>
    </row>
    <row r="12">
      <c r="A12" s="6" t="inlineStr">
        <is>
          <t>ARR ($)</t>
        </is>
      </c>
      <c r="B12" s="14">
        <f>B11*12</f>
        <v/>
      </c>
      <c r="C12" s="14">
        <f>C11*12</f>
        <v/>
      </c>
      <c r="D12" s="14">
        <f>D11*12</f>
        <v/>
      </c>
      <c r="E12" s="14">
        <f>E11*12</f>
        <v/>
      </c>
      <c r="F12" s="14">
        <f>F11*12</f>
        <v/>
      </c>
      <c r="G12" s="14">
        <f>G11*12</f>
        <v/>
      </c>
      <c r="H12" s="14">
        <f>H11*12</f>
        <v/>
      </c>
      <c r="I12" s="14">
        <f>I11*12</f>
        <v/>
      </c>
      <c r="J12" s="14">
        <f>J11*12</f>
        <v/>
      </c>
      <c r="K12" s="14">
        <f>K11*12</f>
        <v/>
      </c>
      <c r="L12" s="14">
        <f>L11*12</f>
        <v/>
      </c>
      <c r="M12" s="14">
        <f>M11*12</f>
        <v/>
      </c>
      <c r="N12" s="14">
        <f>N11*12</f>
        <v/>
      </c>
      <c r="O12" s="14">
        <f>O11*12</f>
        <v/>
      </c>
      <c r="P12" s="14">
        <f>P11*12</f>
        <v/>
      </c>
      <c r="Q12" s="14">
        <f>Q11*12</f>
        <v/>
      </c>
      <c r="R12" s="14">
        <f>R11*12</f>
        <v/>
      </c>
      <c r="S12" s="14">
        <f>S11*12</f>
        <v/>
      </c>
      <c r="T12" s="14">
        <f>T11*12</f>
        <v/>
      </c>
      <c r="U12" s="14">
        <f>U11*12</f>
        <v/>
      </c>
      <c r="V12" s="14">
        <f>V11*12</f>
        <v/>
      </c>
      <c r="W12" s="14">
        <f>W11*12</f>
        <v/>
      </c>
      <c r="X12" s="14">
        <f>X11*12</f>
        <v/>
      </c>
      <c r="Y12" s="14">
        <f>Y11*12</f>
        <v/>
      </c>
    </row>
    <row r="13">
      <c r="A13" s="6" t="inlineStr">
        <is>
          <t>YoY Growth (%)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0">
        <f>(N12-B12)/B12</f>
        <v/>
      </c>
      <c r="O13" s="10">
        <f>(O12-C12)/C12</f>
        <v/>
      </c>
      <c r="P13" s="10">
        <f>(P12-D12)/D12</f>
        <v/>
      </c>
      <c r="Q13" s="10">
        <f>(Q12-E12)/E12</f>
        <v/>
      </c>
      <c r="R13" s="10">
        <f>(R12-F12)/F12</f>
        <v/>
      </c>
      <c r="S13" s="10">
        <f>(S12-G12)/G12</f>
        <v/>
      </c>
      <c r="T13" s="10">
        <f>(T12-H12)/H12</f>
        <v/>
      </c>
      <c r="U13" s="10">
        <f>(U12-I12)/I12</f>
        <v/>
      </c>
      <c r="V13" s="10">
        <f>(V12-J12)/J12</f>
        <v/>
      </c>
      <c r="W13" s="10">
        <f>(W12-K12)/K12</f>
        <v/>
      </c>
      <c r="X13" s="10">
        <f>(X12-L12)/L12</f>
        <v/>
      </c>
      <c r="Y13" s="10">
        <f>(Y12-M12)/M12</f>
        <v/>
      </c>
    </row>
    <row r="15">
      <c r="A15" s="5" t="inlineStr">
        <is>
          <t>OPERATING EXPENSES</t>
        </is>
      </c>
    </row>
    <row r="16">
      <c r="A16" s="6" t="inlineStr">
        <is>
          <t>Engineering</t>
        </is>
      </c>
      <c r="B16" s="16" t="n">
        <v>80000</v>
      </c>
      <c r="C16" s="12" t="n">
        <v>89565.21739130434</v>
      </c>
      <c r="D16" s="12" t="n">
        <v>99130.43478260869</v>
      </c>
      <c r="E16" s="12" t="n">
        <v>108695.652173913</v>
      </c>
      <c r="F16" s="12" t="n">
        <v>118260.8695652174</v>
      </c>
      <c r="G16" s="12" t="n">
        <v>127826.0869565217</v>
      </c>
      <c r="H16" s="12" t="n">
        <v>137391.3043478261</v>
      </c>
      <c r="I16" s="12" t="n">
        <v>146956.5217391304</v>
      </c>
      <c r="J16" s="12" t="n">
        <v>156521.7391304348</v>
      </c>
      <c r="K16" s="12" t="n">
        <v>166086.9565217391</v>
      </c>
      <c r="L16" s="12" t="n">
        <v>175652.1739130435</v>
      </c>
      <c r="M16" s="12" t="n">
        <v>185217.3913043478</v>
      </c>
      <c r="N16" s="12" t="n">
        <v>194782.6086956522</v>
      </c>
      <c r="O16" s="12" t="n">
        <v>204347.8260869565</v>
      </c>
      <c r="P16" s="12" t="n">
        <v>213913.0434782609</v>
      </c>
      <c r="Q16" s="12" t="n">
        <v>223478.2608695652</v>
      </c>
      <c r="R16" s="12" t="n">
        <v>233043.4782608696</v>
      </c>
      <c r="S16" s="12" t="n">
        <v>242608.6956521739</v>
      </c>
      <c r="T16" s="12" t="n">
        <v>252173.9130434782</v>
      </c>
      <c r="U16" s="12" t="n">
        <v>261739.1304347826</v>
      </c>
      <c r="V16" s="12" t="n">
        <v>271304.347826087</v>
      </c>
      <c r="W16" s="12" t="n">
        <v>280869.5652173913</v>
      </c>
      <c r="X16" s="12" t="n">
        <v>290434.7826086956</v>
      </c>
      <c r="Y16" s="12" t="n">
        <v>300000</v>
      </c>
    </row>
    <row r="17">
      <c r="A17" s="6" t="inlineStr">
        <is>
          <t>Sales &amp; Marketing</t>
        </is>
      </c>
      <c r="B17" s="16" t="n">
        <v>20000</v>
      </c>
      <c r="C17" s="12" t="n">
        <v>30000</v>
      </c>
      <c r="D17" s="12" t="n">
        <v>40000</v>
      </c>
      <c r="E17" s="12" t="n">
        <v>50000</v>
      </c>
      <c r="F17" s="12" t="n">
        <v>60000</v>
      </c>
      <c r="G17" s="12" t="n">
        <v>70000</v>
      </c>
      <c r="H17" s="12" t="n">
        <v>80000</v>
      </c>
      <c r="I17" s="12" t="n">
        <v>90000</v>
      </c>
      <c r="J17" s="12" t="n">
        <v>100000</v>
      </c>
      <c r="K17" s="12" t="n">
        <v>110000</v>
      </c>
      <c r="L17" s="12" t="n">
        <v>120000</v>
      </c>
      <c r="M17" s="12" t="n">
        <v>130000</v>
      </c>
      <c r="N17" s="12" t="n">
        <v>140000</v>
      </c>
      <c r="O17" s="12" t="n">
        <v>150000</v>
      </c>
      <c r="P17" s="12" t="n">
        <v>160000</v>
      </c>
      <c r="Q17" s="12" t="n">
        <v>170000</v>
      </c>
      <c r="R17" s="12" t="n">
        <v>180000</v>
      </c>
      <c r="S17" s="12" t="n">
        <v>190000</v>
      </c>
      <c r="T17" s="12" t="n">
        <v>200000</v>
      </c>
      <c r="U17" s="12" t="n">
        <v>210000</v>
      </c>
      <c r="V17" s="12" t="n">
        <v>220000</v>
      </c>
      <c r="W17" s="12" t="n">
        <v>230000</v>
      </c>
      <c r="X17" s="12" t="n">
        <v>240000</v>
      </c>
      <c r="Y17" s="12" t="n">
        <v>250000</v>
      </c>
    </row>
    <row r="18">
      <c r="A18" s="6" t="inlineStr">
        <is>
          <t>Product &amp; Design</t>
        </is>
      </c>
      <c r="B18" s="16" t="n">
        <v>10000</v>
      </c>
      <c r="C18" s="12" t="n">
        <v>16086.95652173913</v>
      </c>
      <c r="D18" s="12" t="n">
        <v>22173.91304347826</v>
      </c>
      <c r="E18" s="12" t="n">
        <v>28260.86956521739</v>
      </c>
      <c r="F18" s="12" t="n">
        <v>34347.82608695652</v>
      </c>
      <c r="G18" s="12" t="n">
        <v>40434.78260869566</v>
      </c>
      <c r="H18" s="12" t="n">
        <v>46521.73913043478</v>
      </c>
      <c r="I18" s="12" t="n">
        <v>52608.69565217391</v>
      </c>
      <c r="J18" s="12" t="n">
        <v>58695.65217391305</v>
      </c>
      <c r="K18" s="12" t="n">
        <v>64782.60869565217</v>
      </c>
      <c r="L18" s="12" t="n">
        <v>70869.56521739131</v>
      </c>
      <c r="M18" s="12" t="n">
        <v>76956.52173913043</v>
      </c>
      <c r="N18" s="12" t="n">
        <v>83043.47826086957</v>
      </c>
      <c r="O18" s="12" t="n">
        <v>89130.4347826087</v>
      </c>
      <c r="P18" s="12" t="n">
        <v>95217.39130434782</v>
      </c>
      <c r="Q18" s="12" t="n">
        <v>101304.347826087</v>
      </c>
      <c r="R18" s="12" t="n">
        <v>107391.3043478261</v>
      </c>
      <c r="S18" s="12" t="n">
        <v>113478.2608695652</v>
      </c>
      <c r="T18" s="12" t="n">
        <v>119565.2173913043</v>
      </c>
      <c r="U18" s="12" t="n">
        <v>125652.1739130435</v>
      </c>
      <c r="V18" s="12" t="n">
        <v>131739.1304347826</v>
      </c>
      <c r="W18" s="12" t="n">
        <v>137826.0869565218</v>
      </c>
      <c r="X18" s="12" t="n">
        <v>143913.0434782609</v>
      </c>
      <c r="Y18" s="12" t="n">
        <v>150000</v>
      </c>
    </row>
    <row r="19">
      <c r="A19" s="6" t="inlineStr">
        <is>
          <t>Operations &amp; G&amp;A</t>
        </is>
      </c>
      <c r="B19" s="16" t="n">
        <v>15000</v>
      </c>
      <c r="C19" s="12" t="n">
        <v>18695.65217391304</v>
      </c>
      <c r="D19" s="12" t="n">
        <v>22391.30434782608</v>
      </c>
      <c r="E19" s="12" t="n">
        <v>26086.95652173913</v>
      </c>
      <c r="F19" s="12" t="n">
        <v>29782.60869565217</v>
      </c>
      <c r="G19" s="12" t="n">
        <v>33478.26086956522</v>
      </c>
      <c r="H19" s="12" t="n">
        <v>37173.91304347826</v>
      </c>
      <c r="I19" s="12" t="n">
        <v>40869.5652173913</v>
      </c>
      <c r="J19" s="12" t="n">
        <v>44565.21739130434</v>
      </c>
      <c r="K19" s="12" t="n">
        <v>48260.86956521739</v>
      </c>
      <c r="L19" s="12" t="n">
        <v>51956.52173913044</v>
      </c>
      <c r="M19" s="12" t="n">
        <v>55652.17391304348</v>
      </c>
      <c r="N19" s="12" t="n">
        <v>59347.82608695652</v>
      </c>
      <c r="O19" s="12" t="n">
        <v>63043.47826086956</v>
      </c>
      <c r="P19" s="12" t="n">
        <v>66739.13043478261</v>
      </c>
      <c r="Q19" s="12" t="n">
        <v>70434.78260869566</v>
      </c>
      <c r="R19" s="12" t="n">
        <v>74130.43478260869</v>
      </c>
      <c r="S19" s="12" t="n">
        <v>77826.08695652174</v>
      </c>
      <c r="T19" s="12" t="n">
        <v>81521.73913043478</v>
      </c>
      <c r="U19" s="12" t="n">
        <v>85217.39130434782</v>
      </c>
      <c r="V19" s="12" t="n">
        <v>88913.04347826088</v>
      </c>
      <c r="W19" s="12" t="n">
        <v>92608.6956521739</v>
      </c>
      <c r="X19" s="12" t="n">
        <v>96304.34782608696</v>
      </c>
      <c r="Y19" s="12" t="n">
        <v>100000</v>
      </c>
    </row>
    <row r="20">
      <c r="A20" s="17" t="inlineStr">
        <is>
          <t>Total OpEx</t>
        </is>
      </c>
      <c r="B20" s="14">
        <f>SUM(B16:B19)</f>
        <v/>
      </c>
      <c r="C20" s="14">
        <f>SUM(C16:C19)</f>
        <v/>
      </c>
      <c r="D20" s="14">
        <f>SUM(D16:D19)</f>
        <v/>
      </c>
      <c r="E20" s="14">
        <f>SUM(E16:E19)</f>
        <v/>
      </c>
      <c r="F20" s="14">
        <f>SUM(F16:F19)</f>
        <v/>
      </c>
      <c r="G20" s="14">
        <f>SUM(G16:G19)</f>
        <v/>
      </c>
      <c r="H20" s="14">
        <f>SUM(H16:H19)</f>
        <v/>
      </c>
      <c r="I20" s="14">
        <f>SUM(I16:I19)</f>
        <v/>
      </c>
      <c r="J20" s="14">
        <f>SUM(J16:J19)</f>
        <v/>
      </c>
      <c r="K20" s="14">
        <f>SUM(K16:K19)</f>
        <v/>
      </c>
      <c r="L20" s="14">
        <f>SUM(L16:L19)</f>
        <v/>
      </c>
      <c r="M20" s="14">
        <f>SUM(M16:M19)</f>
        <v/>
      </c>
      <c r="N20" s="14">
        <f>SUM(N16:N19)</f>
        <v/>
      </c>
      <c r="O20" s="14">
        <f>SUM(O16:O19)</f>
        <v/>
      </c>
      <c r="P20" s="14">
        <f>SUM(P16:P19)</f>
        <v/>
      </c>
      <c r="Q20" s="14">
        <f>SUM(Q16:Q19)</f>
        <v/>
      </c>
      <c r="R20" s="14">
        <f>SUM(R16:R19)</f>
        <v/>
      </c>
      <c r="S20" s="14">
        <f>SUM(S16:S19)</f>
        <v/>
      </c>
      <c r="T20" s="14">
        <f>SUM(T16:T19)</f>
        <v/>
      </c>
      <c r="U20" s="14">
        <f>SUM(U16:U19)</f>
        <v/>
      </c>
      <c r="V20" s="14">
        <f>SUM(V16:V19)</f>
        <v/>
      </c>
      <c r="W20" s="14">
        <f>SUM(W16:W19)</f>
        <v/>
      </c>
      <c r="X20" s="14">
        <f>SUM(X16:X19)</f>
        <v/>
      </c>
      <c r="Y20" s="14">
        <f>SUM(Y16:Y19)</f>
        <v/>
      </c>
    </row>
    <row r="22">
      <c r="A22" s="5" t="inlineStr">
        <is>
          <t>PROFITABILITY</t>
        </is>
      </c>
    </row>
    <row r="23">
      <c r="A23" s="6" t="inlineStr">
        <is>
          <t>Gross Profit (75%)</t>
        </is>
      </c>
      <c r="B23" s="18">
        <f>B11*12*0.75</f>
        <v/>
      </c>
      <c r="C23" s="18">
        <f>C11*12*0.75</f>
        <v/>
      </c>
      <c r="D23" s="18">
        <f>D11*12*0.75</f>
        <v/>
      </c>
      <c r="E23" s="18">
        <f>E11*12*0.75</f>
        <v/>
      </c>
      <c r="F23" s="18">
        <f>F11*12*0.75</f>
        <v/>
      </c>
      <c r="G23" s="18">
        <f>G11*12*0.75</f>
        <v/>
      </c>
      <c r="H23" s="18">
        <f>H11*12*0.75</f>
        <v/>
      </c>
      <c r="I23" s="18">
        <f>I11*12*0.75</f>
        <v/>
      </c>
      <c r="J23" s="18">
        <f>J11*12*0.75</f>
        <v/>
      </c>
      <c r="K23" s="18">
        <f>K11*12*0.75</f>
        <v/>
      </c>
      <c r="L23" s="18">
        <f>L11*12*0.75</f>
        <v/>
      </c>
      <c r="M23" s="18">
        <f>M11*12*0.75</f>
        <v/>
      </c>
      <c r="N23" s="18">
        <f>N11*12*0.75</f>
        <v/>
      </c>
      <c r="O23" s="18">
        <f>O11*12*0.75</f>
        <v/>
      </c>
      <c r="P23" s="18">
        <f>P11*12*0.75</f>
        <v/>
      </c>
      <c r="Q23" s="18">
        <f>Q11*12*0.75</f>
        <v/>
      </c>
      <c r="R23" s="18">
        <f>R11*12*0.75</f>
        <v/>
      </c>
      <c r="S23" s="18">
        <f>S11*12*0.75</f>
        <v/>
      </c>
      <c r="T23" s="18">
        <f>T11*12*0.75</f>
        <v/>
      </c>
      <c r="U23" s="18">
        <f>U11*12*0.75</f>
        <v/>
      </c>
      <c r="V23" s="18">
        <f>V11*12*0.75</f>
        <v/>
      </c>
      <c r="W23" s="18">
        <f>W11*12*0.75</f>
        <v/>
      </c>
      <c r="X23" s="18">
        <f>X11*12*0.75</f>
        <v/>
      </c>
      <c r="Y23" s="18">
        <f>Y11*12*0.75</f>
        <v/>
      </c>
    </row>
    <row r="24">
      <c r="A24" s="6" t="inlineStr">
        <is>
          <t>Gross Margin %</t>
        </is>
      </c>
      <c r="B24" s="15">
        <f>0.75</f>
        <v/>
      </c>
      <c r="C24" s="15">
        <f>0.75</f>
        <v/>
      </c>
      <c r="D24" s="15">
        <f>0.75</f>
        <v/>
      </c>
      <c r="E24" s="15">
        <f>0.75</f>
        <v/>
      </c>
      <c r="F24" s="15">
        <f>0.75</f>
        <v/>
      </c>
      <c r="G24" s="15">
        <f>0.75</f>
        <v/>
      </c>
      <c r="H24" s="15">
        <f>0.75</f>
        <v/>
      </c>
      <c r="I24" s="15">
        <f>0.75</f>
        <v/>
      </c>
      <c r="J24" s="15">
        <f>0.75</f>
        <v/>
      </c>
      <c r="K24" s="15">
        <f>0.75</f>
        <v/>
      </c>
      <c r="L24" s="15">
        <f>0.75</f>
        <v/>
      </c>
      <c r="M24" s="15">
        <f>0.75</f>
        <v/>
      </c>
      <c r="N24" s="15">
        <f>0.75</f>
        <v/>
      </c>
      <c r="O24" s="15">
        <f>0.75</f>
        <v/>
      </c>
      <c r="P24" s="15">
        <f>0.75</f>
        <v/>
      </c>
      <c r="Q24" s="15">
        <f>0.75</f>
        <v/>
      </c>
      <c r="R24" s="15">
        <f>0.75</f>
        <v/>
      </c>
      <c r="S24" s="15">
        <f>0.75</f>
        <v/>
      </c>
      <c r="T24" s="15">
        <f>0.75</f>
        <v/>
      </c>
      <c r="U24" s="15">
        <f>0.75</f>
        <v/>
      </c>
      <c r="V24" s="15">
        <f>0.75</f>
        <v/>
      </c>
      <c r="W24" s="15">
        <f>0.75</f>
        <v/>
      </c>
      <c r="X24" s="15">
        <f>0.75</f>
        <v/>
      </c>
      <c r="Y24" s="15">
        <f>0.75</f>
        <v/>
      </c>
    </row>
    <row r="25">
      <c r="A25" s="6" t="inlineStr">
        <is>
          <t>Operating Profit (Loss)</t>
        </is>
      </c>
      <c r="B25" s="14">
        <f>B23-B20</f>
        <v/>
      </c>
      <c r="C25" s="14">
        <f>C23-C20</f>
        <v/>
      </c>
      <c r="D25" s="14">
        <f>D23-D20</f>
        <v/>
      </c>
      <c r="E25" s="14">
        <f>E23-E20</f>
        <v/>
      </c>
      <c r="F25" s="14">
        <f>F23-F20</f>
        <v/>
      </c>
      <c r="G25" s="14">
        <f>G23-G20</f>
        <v/>
      </c>
      <c r="H25" s="14">
        <f>H23-H20</f>
        <v/>
      </c>
      <c r="I25" s="14">
        <f>I23-I20</f>
        <v/>
      </c>
      <c r="J25" s="14">
        <f>J23-J20</f>
        <v/>
      </c>
      <c r="K25" s="14">
        <f>K23-K20</f>
        <v/>
      </c>
      <c r="L25" s="14">
        <f>L23-L20</f>
        <v/>
      </c>
      <c r="M25" s="14">
        <f>M23-M20</f>
        <v/>
      </c>
      <c r="N25" s="14">
        <f>N23-N20</f>
        <v/>
      </c>
      <c r="O25" s="14">
        <f>O23-O20</f>
        <v/>
      </c>
      <c r="P25" s="14">
        <f>P23-P20</f>
        <v/>
      </c>
      <c r="Q25" s="14">
        <f>Q23-Q20</f>
        <v/>
      </c>
      <c r="R25" s="14">
        <f>R23-R20</f>
        <v/>
      </c>
      <c r="S25" s="14">
        <f>S23-S20</f>
        <v/>
      </c>
      <c r="T25" s="14">
        <f>T23-T20</f>
        <v/>
      </c>
      <c r="U25" s="14">
        <f>U23-U20</f>
        <v/>
      </c>
      <c r="V25" s="14">
        <f>V23-V20</f>
        <v/>
      </c>
      <c r="W25" s="14">
        <f>W23-W20</f>
        <v/>
      </c>
      <c r="X25" s="14">
        <f>X23-X20</f>
        <v/>
      </c>
      <c r="Y25" s="14">
        <f>Y23-Y20</f>
        <v/>
      </c>
    </row>
    <row r="26">
      <c r="A26" s="6" t="inlineStr">
        <is>
          <t>Operating Margin %</t>
        </is>
      </c>
      <c r="B26" s="15">
        <f>B25/(B11*12)</f>
        <v/>
      </c>
      <c r="C26" s="15">
        <f>C25/(C11*12)</f>
        <v/>
      </c>
      <c r="D26" s="15">
        <f>D25/(D11*12)</f>
        <v/>
      </c>
      <c r="E26" s="15">
        <f>E25/(E11*12)</f>
        <v/>
      </c>
      <c r="F26" s="15">
        <f>F25/(F11*12)</f>
        <v/>
      </c>
      <c r="G26" s="15">
        <f>G25/(G11*12)</f>
        <v/>
      </c>
      <c r="H26" s="15">
        <f>H25/(H11*12)</f>
        <v/>
      </c>
      <c r="I26" s="15">
        <f>I25/(I11*12)</f>
        <v/>
      </c>
      <c r="J26" s="15">
        <f>J25/(J11*12)</f>
        <v/>
      </c>
      <c r="K26" s="15">
        <f>K25/(K11*12)</f>
        <v/>
      </c>
      <c r="L26" s="15">
        <f>L25/(L11*12)</f>
        <v/>
      </c>
      <c r="M26" s="15">
        <f>M25/(M11*12)</f>
        <v/>
      </c>
      <c r="N26" s="15">
        <f>N25/(N11*12)</f>
        <v/>
      </c>
      <c r="O26" s="15">
        <f>O25/(O11*12)</f>
        <v/>
      </c>
      <c r="P26" s="15">
        <f>P25/(P11*12)</f>
        <v/>
      </c>
      <c r="Q26" s="15">
        <f>Q25/(Q11*12)</f>
        <v/>
      </c>
      <c r="R26" s="15">
        <f>R25/(R11*12)</f>
        <v/>
      </c>
      <c r="S26" s="15">
        <f>S25/(S11*12)</f>
        <v/>
      </c>
      <c r="T26" s="15">
        <f>T25/(T11*12)</f>
        <v/>
      </c>
      <c r="U26" s="15">
        <f>U25/(U11*12)</f>
        <v/>
      </c>
      <c r="V26" s="15">
        <f>V25/(V11*12)</f>
        <v/>
      </c>
      <c r="W26" s="15">
        <f>W25/(W11*12)</f>
        <v/>
      </c>
      <c r="X26" s="15">
        <f>X25/(X11*12)</f>
        <v/>
      </c>
      <c r="Y26" s="15">
        <f>Y25/(Y11*12)</f>
        <v/>
      </c>
    </row>
    <row r="27">
      <c r="A27" s="17" t="inlineStr">
        <is>
          <t>Cumulative Cash Flow</t>
        </is>
      </c>
      <c r="B27" s="14">
        <f>-5000000+B25</f>
        <v/>
      </c>
      <c r="C27" s="14">
        <f>B27+C25</f>
        <v/>
      </c>
      <c r="D27" s="14">
        <f>C27+D25</f>
        <v/>
      </c>
      <c r="E27" s="14">
        <f>D27+E25</f>
        <v/>
      </c>
      <c r="F27" s="14">
        <f>E27+F25</f>
        <v/>
      </c>
      <c r="G27" s="14">
        <f>F27+G25</f>
        <v/>
      </c>
      <c r="H27" s="14">
        <f>G27+H25</f>
        <v/>
      </c>
      <c r="I27" s="14">
        <f>H27+I25</f>
        <v/>
      </c>
      <c r="J27" s="14">
        <f>I27+J25</f>
        <v/>
      </c>
      <c r="K27" s="14">
        <f>J27+K25</f>
        <v/>
      </c>
      <c r="L27" s="14">
        <f>K27+L25</f>
        <v/>
      </c>
      <c r="M27" s="14">
        <f>L27+M25</f>
        <v/>
      </c>
      <c r="N27" s="14">
        <f>M27+N25</f>
        <v/>
      </c>
      <c r="O27" s="14">
        <f>N27+O25</f>
        <v/>
      </c>
      <c r="P27" s="14">
        <f>O27+P25</f>
        <v/>
      </c>
      <c r="Q27" s="14">
        <f>P27+Q25</f>
        <v/>
      </c>
      <c r="R27" s="14">
        <f>Q27+R25</f>
        <v/>
      </c>
      <c r="S27" s="14">
        <f>R27+S25</f>
        <v/>
      </c>
      <c r="T27" s="14">
        <f>S27+T25</f>
        <v/>
      </c>
      <c r="U27" s="14">
        <f>T27+U25</f>
        <v/>
      </c>
      <c r="V27" s="14">
        <f>U27+V25</f>
        <v/>
      </c>
      <c r="W27" s="14">
        <f>V27+W25</f>
        <v/>
      </c>
      <c r="X27" s="14">
        <f>W27+X25</f>
        <v/>
      </c>
      <c r="Y27" s="14">
        <f>X27+Y25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2026-04-23T19:47:01Z</dcterms:created>
  <dcterms:modified xsi:type="dcterms:W3CDTF">2026-04-23T19:47:01Z</dcterms:modified>
</cp:coreProperties>
</file>